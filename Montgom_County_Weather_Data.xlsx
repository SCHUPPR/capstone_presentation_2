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2FD7AC8C-A34D-4639-8CF5-94D68F3659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8" i="1" l="1"/>
  <c r="B99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C9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2" i="1"/>
</calcChain>
</file>

<file path=xl/sharedStrings.xml><?xml version="1.0" encoding="utf-8"?>
<sst xmlns="http://schemas.openxmlformats.org/spreadsheetml/2006/main" count="115" uniqueCount="115">
  <si>
    <t>Month_Year</t>
  </si>
  <si>
    <t>Year</t>
  </si>
  <si>
    <t>Month</t>
  </si>
  <si>
    <t>Avg_Temp_f</t>
  </si>
  <si>
    <t>Min_Temp_F</t>
  </si>
  <si>
    <t>Max_Temp_F</t>
  </si>
  <si>
    <t>Precipitation (in.)</t>
  </si>
  <si>
    <t>December, 2025</t>
  </si>
  <si>
    <t>November, 2025</t>
  </si>
  <si>
    <t>October, 2025</t>
  </si>
  <si>
    <t>September, 2025</t>
  </si>
  <si>
    <t>August, 2025</t>
  </si>
  <si>
    <t>July, 2025</t>
  </si>
  <si>
    <t>June, 2025</t>
  </si>
  <si>
    <t>May, 2025</t>
  </si>
  <si>
    <t>April, 2025</t>
  </si>
  <si>
    <t>March, 2025</t>
  </si>
  <si>
    <t>February, 2025</t>
  </si>
  <si>
    <t>January, 2025</t>
  </si>
  <si>
    <t>December, 2024</t>
  </si>
  <si>
    <t>November, 2024</t>
  </si>
  <si>
    <t>October, 2024</t>
  </si>
  <si>
    <t>September, 2024</t>
  </si>
  <si>
    <t>August, 2024</t>
  </si>
  <si>
    <t>July, 2024</t>
  </si>
  <si>
    <t>June, 2024</t>
  </si>
  <si>
    <t>May, 2024</t>
  </si>
  <si>
    <t>April, 2024</t>
  </si>
  <si>
    <t>March, 2024</t>
  </si>
  <si>
    <t>February, 2024</t>
  </si>
  <si>
    <t>January, 2024</t>
  </si>
  <si>
    <t>December, 2023</t>
  </si>
  <si>
    <t>November, 2023</t>
  </si>
  <si>
    <t>October, 2023</t>
  </si>
  <si>
    <t>September, 2023</t>
  </si>
  <si>
    <t>August, 2023</t>
  </si>
  <si>
    <t>July, 2023</t>
  </si>
  <si>
    <t>June, 2023</t>
  </si>
  <si>
    <t>May, 2023</t>
  </si>
  <si>
    <t>April, 2023</t>
  </si>
  <si>
    <t>March, 2023</t>
  </si>
  <si>
    <t>February, 2023</t>
  </si>
  <si>
    <t>January, 2023</t>
  </si>
  <si>
    <t>December, 2022</t>
  </si>
  <si>
    <t>November, 2022</t>
  </si>
  <si>
    <t>October, 2022</t>
  </si>
  <si>
    <t>September, 2022</t>
  </si>
  <si>
    <t>August, 2022</t>
  </si>
  <si>
    <t>July, 2022</t>
  </si>
  <si>
    <t>June, 2022</t>
  </si>
  <si>
    <t>May, 2022</t>
  </si>
  <si>
    <t>April, 2022</t>
  </si>
  <si>
    <t>March, 2022</t>
  </si>
  <si>
    <t>February, 2022</t>
  </si>
  <si>
    <t>January, 2022</t>
  </si>
  <si>
    <t>December, 2021</t>
  </si>
  <si>
    <t>November, 2021</t>
  </si>
  <si>
    <t>October, 2021</t>
  </si>
  <si>
    <t>September, 2021</t>
  </si>
  <si>
    <t>August, 2021</t>
  </si>
  <si>
    <t>July, 2021</t>
  </si>
  <si>
    <t>June, 2021</t>
  </si>
  <si>
    <t>May, 2021</t>
  </si>
  <si>
    <t>April, 2021</t>
  </si>
  <si>
    <t>March, 2021</t>
  </si>
  <si>
    <t>February, 2021</t>
  </si>
  <si>
    <t>January, 2021</t>
  </si>
  <si>
    <t>December, 2020</t>
  </si>
  <si>
    <t>November, 2020</t>
  </si>
  <si>
    <t>October, 2020</t>
  </si>
  <si>
    <t>September, 2020</t>
  </si>
  <si>
    <t>August, 2020</t>
  </si>
  <si>
    <t>July, 2020</t>
  </si>
  <si>
    <t>June, 2020</t>
  </si>
  <si>
    <t>May, 2020</t>
  </si>
  <si>
    <t>April, 2020</t>
  </si>
  <si>
    <t>March, 2020</t>
  </si>
  <si>
    <t>February, 2020</t>
  </si>
  <si>
    <t>January, 2020</t>
  </si>
  <si>
    <t>December, 2019</t>
  </si>
  <si>
    <t>November, 2019</t>
  </si>
  <si>
    <t>October, 2019</t>
  </si>
  <si>
    <t>September, 2019</t>
  </si>
  <si>
    <t>August, 2019</t>
  </si>
  <si>
    <t>July, 2019</t>
  </si>
  <si>
    <t>June, 2019</t>
  </si>
  <si>
    <t>May, 2019</t>
  </si>
  <si>
    <t>April, 2019</t>
  </si>
  <si>
    <t>March, 2019</t>
  </si>
  <si>
    <t>February, 2019</t>
  </si>
  <si>
    <t>January, 2019</t>
  </si>
  <si>
    <t>December, 2018</t>
  </si>
  <si>
    <t>November, 2018</t>
  </si>
  <si>
    <t>October, 2018</t>
  </si>
  <si>
    <t>September, 2018</t>
  </si>
  <si>
    <t>August, 2018</t>
  </si>
  <si>
    <t>July, 2018</t>
  </si>
  <si>
    <t>June, 2018</t>
  </si>
  <si>
    <t>May, 2018</t>
  </si>
  <si>
    <t>April, 2018</t>
  </si>
  <si>
    <t>March, 2018</t>
  </si>
  <si>
    <t>February, 2018</t>
  </si>
  <si>
    <t>January, 2018</t>
  </si>
  <si>
    <t>December, 2017</t>
  </si>
  <si>
    <t>November, 2017</t>
  </si>
  <si>
    <t>October, 2017</t>
  </si>
  <si>
    <t>September, 2017</t>
  </si>
  <si>
    <t>August, 2017</t>
  </si>
  <si>
    <t>July, 2017</t>
  </si>
  <si>
    <t>June, 2017</t>
  </si>
  <si>
    <t>May, 2017</t>
  </si>
  <si>
    <t>April, 2017</t>
  </si>
  <si>
    <t>March, 2017</t>
  </si>
  <si>
    <t>February, 2017</t>
  </si>
  <si>
    <t>January,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</si>
</sst>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topLeftCell="A68" workbookViewId="0">
      <selection activeCell="L101" sqref="L101"/>
    </sheetView>
  </sheetViews>
  <sheetFormatPr defaultRowHeight="15"/>
  <cols>
    <col min="1" max="1" width="16.28515625" bestFit="1" customWidth="1"/>
    <col min="2" max="3" width="16.28515625" customWidth="1"/>
    <col min="4" max="4" width="12.85546875" bestFit="1" customWidth="1"/>
    <col min="5" max="5" width="13.5703125" bestFit="1" customWidth="1"/>
    <col min="6" max="6" width="14" bestFit="1" customWidth="1"/>
    <col min="7" max="7" width="19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tr">
        <f>RIGHT($A2,4)</f>
        <v>2025</v>
      </c>
      <c r="C2" t="str">
        <f>LEFT($A2,FIND(",",$A2)-1)</f>
        <v>December</v>
      </c>
      <c r="D2">
        <v>33.9</v>
      </c>
      <c r="E2">
        <v>25.3</v>
      </c>
      <c r="F2">
        <v>42.6</v>
      </c>
      <c r="G2">
        <v>1.47</v>
      </c>
    </row>
    <row r="3" spans="1:7">
      <c r="A3" t="s">
        <v>8</v>
      </c>
      <c r="B3" t="str">
        <f t="shared" ref="B3:B66" si="0">RIGHT($A3,4)</f>
        <v>2025</v>
      </c>
      <c r="C3" t="str">
        <f t="shared" ref="C3:C66" si="1">LEFT($A3,FIND(",",$A3)-1)</f>
        <v>November</v>
      </c>
      <c r="D3">
        <v>46.3</v>
      </c>
      <c r="E3">
        <v>36.299999999999997</v>
      </c>
      <c r="F3">
        <v>56.3</v>
      </c>
      <c r="G3">
        <v>0.98</v>
      </c>
    </row>
    <row r="4" spans="1:7">
      <c r="A4" t="s">
        <v>9</v>
      </c>
      <c r="B4" t="str">
        <f t="shared" si="0"/>
        <v>2025</v>
      </c>
      <c r="C4" t="str">
        <f t="shared" si="1"/>
        <v>October</v>
      </c>
      <c r="D4">
        <v>56.8</v>
      </c>
      <c r="E4">
        <v>46</v>
      </c>
      <c r="F4">
        <v>67.5</v>
      </c>
      <c r="G4">
        <v>2.0699999999999998</v>
      </c>
    </row>
    <row r="5" spans="1:7">
      <c r="A5" t="s">
        <v>10</v>
      </c>
      <c r="B5" t="str">
        <f t="shared" si="0"/>
        <v>2025</v>
      </c>
      <c r="C5" t="str">
        <f t="shared" si="1"/>
        <v>September</v>
      </c>
      <c r="D5">
        <v>68.900000000000006</v>
      </c>
      <c r="E5">
        <v>58.7</v>
      </c>
      <c r="F5">
        <v>79</v>
      </c>
      <c r="G5">
        <v>2.27</v>
      </c>
    </row>
    <row r="6" spans="1:7">
      <c r="A6" t="s">
        <v>11</v>
      </c>
      <c r="B6" t="str">
        <f t="shared" si="0"/>
        <v>2025</v>
      </c>
      <c r="C6" t="str">
        <f t="shared" si="1"/>
        <v>August</v>
      </c>
      <c r="D6">
        <v>71.3</v>
      </c>
      <c r="E6">
        <v>61.3</v>
      </c>
      <c r="F6">
        <v>81.2</v>
      </c>
      <c r="G6">
        <v>1.1599999999999999</v>
      </c>
    </row>
    <row r="7" spans="1:7">
      <c r="A7" t="s">
        <v>12</v>
      </c>
      <c r="B7" t="str">
        <f t="shared" si="0"/>
        <v>2025</v>
      </c>
      <c r="C7" t="str">
        <f t="shared" si="1"/>
        <v>July</v>
      </c>
      <c r="D7">
        <v>79.5</v>
      </c>
      <c r="E7">
        <v>69.8</v>
      </c>
      <c r="F7">
        <v>89.2</v>
      </c>
      <c r="G7">
        <v>4.67</v>
      </c>
    </row>
    <row r="8" spans="1:7">
      <c r="A8" t="s">
        <v>13</v>
      </c>
      <c r="B8" t="str">
        <f t="shared" si="0"/>
        <v>2025</v>
      </c>
      <c r="C8" t="str">
        <f t="shared" si="1"/>
        <v>June</v>
      </c>
      <c r="D8">
        <v>73.8</v>
      </c>
      <c r="E8">
        <v>63.7</v>
      </c>
      <c r="F8">
        <v>84</v>
      </c>
      <c r="G8">
        <v>4.76</v>
      </c>
    </row>
    <row r="9" spans="1:7">
      <c r="A9" t="s">
        <v>14</v>
      </c>
      <c r="B9" t="str">
        <f t="shared" si="0"/>
        <v>2025</v>
      </c>
      <c r="C9" t="str">
        <f t="shared" si="1"/>
        <v>May</v>
      </c>
      <c r="D9">
        <v>64</v>
      </c>
      <c r="E9">
        <v>54.7</v>
      </c>
      <c r="F9">
        <v>73.400000000000006</v>
      </c>
      <c r="G9">
        <v>8.16</v>
      </c>
    </row>
    <row r="10" spans="1:7">
      <c r="A10" t="s">
        <v>15</v>
      </c>
      <c r="B10" t="str">
        <f t="shared" si="0"/>
        <v>2025</v>
      </c>
      <c r="C10" t="str">
        <f t="shared" si="1"/>
        <v>April</v>
      </c>
      <c r="D10">
        <v>57.3</v>
      </c>
      <c r="E10">
        <v>46.9</v>
      </c>
      <c r="F10">
        <v>67.7</v>
      </c>
      <c r="G10">
        <v>2.54</v>
      </c>
    </row>
    <row r="11" spans="1:7">
      <c r="A11" t="s">
        <v>16</v>
      </c>
      <c r="B11" t="str">
        <f t="shared" si="0"/>
        <v>2025</v>
      </c>
      <c r="C11" t="str">
        <f t="shared" si="1"/>
        <v>March</v>
      </c>
      <c r="D11">
        <v>49.9</v>
      </c>
      <c r="E11">
        <v>38.1</v>
      </c>
      <c r="F11">
        <v>61.7</v>
      </c>
      <c r="G11">
        <v>1.59</v>
      </c>
    </row>
    <row r="12" spans="1:7">
      <c r="A12" t="s">
        <v>17</v>
      </c>
      <c r="B12" t="str">
        <f t="shared" si="0"/>
        <v>2025</v>
      </c>
      <c r="C12" t="str">
        <f t="shared" si="1"/>
        <v>February</v>
      </c>
      <c r="D12">
        <v>36.9</v>
      </c>
      <c r="E12">
        <v>28.4</v>
      </c>
      <c r="F12">
        <v>45.3</v>
      </c>
      <c r="G12">
        <v>2.29</v>
      </c>
    </row>
    <row r="13" spans="1:7">
      <c r="A13" t="s">
        <v>18</v>
      </c>
      <c r="B13" t="str">
        <f t="shared" si="0"/>
        <v>2025</v>
      </c>
      <c r="C13" t="str">
        <f t="shared" si="1"/>
        <v>January</v>
      </c>
      <c r="D13">
        <v>29.3</v>
      </c>
      <c r="E13">
        <v>21.3</v>
      </c>
      <c r="F13">
        <v>37.299999999999997</v>
      </c>
      <c r="G13">
        <v>1.59</v>
      </c>
    </row>
    <row r="14" spans="1:7">
      <c r="A14" t="s">
        <v>19</v>
      </c>
      <c r="B14" t="str">
        <f t="shared" si="0"/>
        <v>2024</v>
      </c>
      <c r="C14" t="str">
        <f t="shared" si="1"/>
        <v>December</v>
      </c>
      <c r="D14">
        <v>37.1</v>
      </c>
      <c r="E14">
        <v>29.3</v>
      </c>
      <c r="F14">
        <v>44.9</v>
      </c>
      <c r="G14">
        <v>3.07</v>
      </c>
    </row>
    <row r="15" spans="1:7">
      <c r="A15" t="s">
        <v>20</v>
      </c>
      <c r="B15" t="str">
        <f t="shared" si="0"/>
        <v>2024</v>
      </c>
      <c r="C15" t="str">
        <f t="shared" si="1"/>
        <v>November</v>
      </c>
      <c r="D15">
        <v>50</v>
      </c>
      <c r="E15">
        <v>40.4</v>
      </c>
      <c r="F15">
        <v>59.5</v>
      </c>
      <c r="G15">
        <v>1.92</v>
      </c>
    </row>
    <row r="16" spans="1:7">
      <c r="A16" t="s">
        <v>21</v>
      </c>
      <c r="B16" t="str">
        <f t="shared" si="0"/>
        <v>2024</v>
      </c>
      <c r="C16" t="str">
        <f t="shared" si="1"/>
        <v>October</v>
      </c>
      <c r="D16">
        <v>58</v>
      </c>
      <c r="E16">
        <v>46.1</v>
      </c>
      <c r="F16">
        <v>69.900000000000006</v>
      </c>
      <c r="G16">
        <v>0.4</v>
      </c>
    </row>
    <row r="17" spans="1:7">
      <c r="A17" t="s">
        <v>22</v>
      </c>
      <c r="B17" t="str">
        <f t="shared" si="0"/>
        <v>2024</v>
      </c>
      <c r="C17" t="str">
        <f t="shared" si="1"/>
        <v>September</v>
      </c>
      <c r="D17">
        <v>67.900000000000006</v>
      </c>
      <c r="E17">
        <v>59.1</v>
      </c>
      <c r="F17">
        <v>76.7</v>
      </c>
      <c r="G17">
        <v>3.2</v>
      </c>
    </row>
    <row r="18" spans="1:7">
      <c r="A18" t="s">
        <v>23</v>
      </c>
      <c r="B18" t="str">
        <f t="shared" si="0"/>
        <v>2024</v>
      </c>
      <c r="C18" t="str">
        <f t="shared" si="1"/>
        <v>August</v>
      </c>
      <c r="D18">
        <v>75</v>
      </c>
      <c r="E18">
        <v>64.8</v>
      </c>
      <c r="F18">
        <v>85.1</v>
      </c>
      <c r="G18">
        <v>7.61</v>
      </c>
    </row>
    <row r="19" spans="1:7">
      <c r="A19" t="s">
        <v>24</v>
      </c>
      <c r="B19" t="str">
        <f t="shared" si="0"/>
        <v>2024</v>
      </c>
      <c r="C19" t="str">
        <f t="shared" si="1"/>
        <v>July</v>
      </c>
      <c r="D19">
        <v>79.3</v>
      </c>
      <c r="E19">
        <v>69.2</v>
      </c>
      <c r="F19">
        <v>89.5</v>
      </c>
      <c r="G19">
        <v>2.58</v>
      </c>
    </row>
    <row r="20" spans="1:7">
      <c r="A20" t="s">
        <v>25</v>
      </c>
      <c r="B20" t="str">
        <f t="shared" si="0"/>
        <v>2024</v>
      </c>
      <c r="C20" t="str">
        <f t="shared" si="1"/>
        <v>June</v>
      </c>
      <c r="D20">
        <v>74.900000000000006</v>
      </c>
      <c r="E20">
        <v>63.4</v>
      </c>
      <c r="F20">
        <v>86.4</v>
      </c>
      <c r="G20">
        <v>1.62</v>
      </c>
    </row>
    <row r="21" spans="1:7">
      <c r="A21" t="s">
        <v>26</v>
      </c>
      <c r="B21" t="str">
        <f t="shared" si="0"/>
        <v>2024</v>
      </c>
      <c r="C21" t="str">
        <f t="shared" si="1"/>
        <v>May</v>
      </c>
      <c r="D21">
        <v>65.8</v>
      </c>
      <c r="E21">
        <v>56.2</v>
      </c>
      <c r="F21">
        <v>75.3</v>
      </c>
      <c r="G21">
        <v>4.59</v>
      </c>
    </row>
    <row r="22" spans="1:7">
      <c r="A22" t="s">
        <v>27</v>
      </c>
      <c r="B22" t="str">
        <f t="shared" si="0"/>
        <v>2024</v>
      </c>
      <c r="C22" t="str">
        <f t="shared" si="1"/>
        <v>April</v>
      </c>
      <c r="D22">
        <v>57.2</v>
      </c>
      <c r="E22">
        <v>47</v>
      </c>
      <c r="F22">
        <v>67.400000000000006</v>
      </c>
      <c r="G22">
        <v>2.59</v>
      </c>
    </row>
    <row r="23" spans="1:7">
      <c r="A23" t="s">
        <v>28</v>
      </c>
      <c r="B23" t="str">
        <f t="shared" si="0"/>
        <v>2024</v>
      </c>
      <c r="C23" t="str">
        <f t="shared" si="1"/>
        <v>March</v>
      </c>
      <c r="D23">
        <v>48.5</v>
      </c>
      <c r="E23">
        <v>38.200000000000003</v>
      </c>
      <c r="F23">
        <v>58.8</v>
      </c>
      <c r="G23">
        <v>4.3099999999999996</v>
      </c>
    </row>
    <row r="24" spans="1:7">
      <c r="A24" t="s">
        <v>29</v>
      </c>
      <c r="B24" t="str">
        <f t="shared" si="0"/>
        <v>2024</v>
      </c>
      <c r="C24" t="str">
        <f t="shared" si="1"/>
        <v>February</v>
      </c>
      <c r="D24">
        <v>41</v>
      </c>
      <c r="E24">
        <v>31.3</v>
      </c>
      <c r="F24">
        <v>50.6</v>
      </c>
      <c r="G24">
        <v>1.71</v>
      </c>
    </row>
    <row r="25" spans="1:7">
      <c r="A25" t="s">
        <v>30</v>
      </c>
      <c r="B25" t="str">
        <f t="shared" si="0"/>
        <v>2024</v>
      </c>
      <c r="C25" t="str">
        <f t="shared" si="1"/>
        <v>January</v>
      </c>
      <c r="D25">
        <v>36.4</v>
      </c>
      <c r="E25">
        <v>28.5</v>
      </c>
      <c r="F25">
        <v>44.2</v>
      </c>
      <c r="G25">
        <v>6.2</v>
      </c>
    </row>
    <row r="26" spans="1:7">
      <c r="A26" t="s">
        <v>31</v>
      </c>
      <c r="B26" t="str">
        <f t="shared" si="0"/>
        <v>2023</v>
      </c>
      <c r="C26" t="str">
        <f t="shared" si="1"/>
        <v>December</v>
      </c>
      <c r="D26">
        <v>41.9</v>
      </c>
      <c r="E26">
        <v>33.5</v>
      </c>
      <c r="F26">
        <v>50.3</v>
      </c>
      <c r="G26">
        <v>5.92</v>
      </c>
    </row>
    <row r="27" spans="1:7">
      <c r="A27" t="s">
        <v>32</v>
      </c>
      <c r="B27" t="str">
        <f t="shared" si="0"/>
        <v>2023</v>
      </c>
      <c r="C27" t="str">
        <f t="shared" si="1"/>
        <v>November</v>
      </c>
      <c r="D27">
        <v>45.1</v>
      </c>
      <c r="E27">
        <v>34.299999999999997</v>
      </c>
      <c r="F27">
        <v>55.8</v>
      </c>
      <c r="G27">
        <v>2.25</v>
      </c>
    </row>
    <row r="28" spans="1:7">
      <c r="A28" t="s">
        <v>33</v>
      </c>
      <c r="B28" t="str">
        <f t="shared" si="0"/>
        <v>2023</v>
      </c>
      <c r="C28" t="str">
        <f t="shared" si="1"/>
        <v>October</v>
      </c>
      <c r="D28">
        <v>59.1</v>
      </c>
      <c r="E28">
        <v>48.3</v>
      </c>
      <c r="F28">
        <v>69.8</v>
      </c>
      <c r="G28">
        <v>1.1200000000000001</v>
      </c>
    </row>
    <row r="29" spans="1:7">
      <c r="A29" t="s">
        <v>34</v>
      </c>
      <c r="B29" t="str">
        <f t="shared" si="0"/>
        <v>2023</v>
      </c>
      <c r="C29" t="str">
        <f t="shared" si="1"/>
        <v>September</v>
      </c>
      <c r="D29">
        <v>68.7</v>
      </c>
      <c r="E29">
        <v>58.7</v>
      </c>
      <c r="F29">
        <v>78.7</v>
      </c>
      <c r="G29">
        <v>6.23</v>
      </c>
    </row>
    <row r="30" spans="1:7">
      <c r="A30" t="s">
        <v>35</v>
      </c>
      <c r="B30" t="str">
        <f t="shared" si="0"/>
        <v>2023</v>
      </c>
      <c r="C30" t="str">
        <f t="shared" si="1"/>
        <v>August</v>
      </c>
      <c r="D30">
        <v>74.3</v>
      </c>
      <c r="E30">
        <v>64.5</v>
      </c>
      <c r="F30">
        <v>84.2</v>
      </c>
      <c r="G30">
        <v>2.84</v>
      </c>
    </row>
    <row r="31" spans="1:7">
      <c r="A31" t="s">
        <v>36</v>
      </c>
      <c r="B31" t="str">
        <f t="shared" si="0"/>
        <v>2023</v>
      </c>
      <c r="C31" t="str">
        <f t="shared" si="1"/>
        <v>July</v>
      </c>
      <c r="D31">
        <v>77.900000000000006</v>
      </c>
      <c r="E31">
        <v>67.7</v>
      </c>
      <c r="F31">
        <v>88.1</v>
      </c>
      <c r="G31">
        <v>5.27</v>
      </c>
    </row>
    <row r="32" spans="1:7">
      <c r="A32" t="s">
        <v>37</v>
      </c>
      <c r="B32" t="str">
        <f t="shared" si="0"/>
        <v>2023</v>
      </c>
      <c r="C32" t="str">
        <f t="shared" si="1"/>
        <v>June</v>
      </c>
      <c r="D32">
        <v>68.900000000000006</v>
      </c>
      <c r="E32">
        <v>57.8</v>
      </c>
      <c r="F32">
        <v>80</v>
      </c>
      <c r="G32">
        <v>2.29</v>
      </c>
    </row>
    <row r="33" spans="1:7">
      <c r="A33" t="s">
        <v>38</v>
      </c>
      <c r="B33" t="str">
        <f t="shared" si="0"/>
        <v>2023</v>
      </c>
      <c r="C33" t="str">
        <f t="shared" si="1"/>
        <v>May</v>
      </c>
      <c r="D33">
        <v>60.5</v>
      </c>
      <c r="E33">
        <v>48.8</v>
      </c>
      <c r="F33">
        <v>72.099999999999994</v>
      </c>
      <c r="G33">
        <v>1.6</v>
      </c>
    </row>
    <row r="34" spans="1:7">
      <c r="A34" t="s">
        <v>39</v>
      </c>
      <c r="B34" t="str">
        <f t="shared" si="0"/>
        <v>2023</v>
      </c>
      <c r="C34" t="str">
        <f t="shared" si="1"/>
        <v>April</v>
      </c>
      <c r="D34">
        <v>58.5</v>
      </c>
      <c r="E34">
        <v>46.3</v>
      </c>
      <c r="F34">
        <v>70.599999999999994</v>
      </c>
      <c r="G34">
        <v>3.16</v>
      </c>
    </row>
    <row r="35" spans="1:7">
      <c r="A35" t="s">
        <v>40</v>
      </c>
      <c r="B35" t="str">
        <f t="shared" si="0"/>
        <v>2023</v>
      </c>
      <c r="C35" t="str">
        <f t="shared" si="1"/>
        <v>March</v>
      </c>
      <c r="D35">
        <v>45.3</v>
      </c>
      <c r="E35">
        <v>34.9</v>
      </c>
      <c r="F35">
        <v>55.6</v>
      </c>
      <c r="G35">
        <v>1.81</v>
      </c>
    </row>
    <row r="36" spans="1:7">
      <c r="A36" t="s">
        <v>41</v>
      </c>
      <c r="B36" t="str">
        <f t="shared" si="0"/>
        <v>2023</v>
      </c>
      <c r="C36" t="str">
        <f t="shared" si="1"/>
        <v>February</v>
      </c>
      <c r="D36">
        <v>43.1</v>
      </c>
      <c r="E36">
        <v>32.9</v>
      </c>
      <c r="F36">
        <v>53.4</v>
      </c>
      <c r="G36">
        <v>2.16</v>
      </c>
    </row>
    <row r="37" spans="1:7">
      <c r="A37" t="s">
        <v>42</v>
      </c>
      <c r="B37" t="str">
        <f t="shared" si="0"/>
        <v>2023</v>
      </c>
      <c r="C37" t="str">
        <f t="shared" si="1"/>
        <v>January</v>
      </c>
      <c r="D37">
        <v>42</v>
      </c>
      <c r="E37">
        <v>34.1</v>
      </c>
      <c r="F37">
        <v>49.9</v>
      </c>
      <c r="G37">
        <v>1.61</v>
      </c>
    </row>
    <row r="38" spans="1:7">
      <c r="A38" t="s">
        <v>43</v>
      </c>
      <c r="B38" t="str">
        <f t="shared" si="0"/>
        <v>2022</v>
      </c>
      <c r="C38" t="str">
        <f t="shared" si="1"/>
        <v>December</v>
      </c>
      <c r="D38">
        <v>36.200000000000003</v>
      </c>
      <c r="E38">
        <v>26.8</v>
      </c>
      <c r="F38">
        <v>45.5</v>
      </c>
      <c r="G38">
        <v>4.75</v>
      </c>
    </row>
    <row r="39" spans="1:7">
      <c r="A39" t="s">
        <v>44</v>
      </c>
      <c r="B39" t="str">
        <f t="shared" si="0"/>
        <v>2022</v>
      </c>
      <c r="C39" t="str">
        <f t="shared" si="1"/>
        <v>November</v>
      </c>
      <c r="D39">
        <v>48.3</v>
      </c>
      <c r="E39">
        <v>38.6</v>
      </c>
      <c r="F39">
        <v>58</v>
      </c>
      <c r="G39">
        <v>2.79</v>
      </c>
    </row>
    <row r="40" spans="1:7">
      <c r="A40" t="s">
        <v>45</v>
      </c>
      <c r="B40" t="str">
        <f t="shared" si="0"/>
        <v>2022</v>
      </c>
      <c r="C40" t="str">
        <f t="shared" si="1"/>
        <v>October</v>
      </c>
      <c r="D40">
        <v>54.1</v>
      </c>
      <c r="E40">
        <v>43.9</v>
      </c>
      <c r="F40">
        <v>64.3</v>
      </c>
      <c r="G40">
        <v>2.96</v>
      </c>
    </row>
    <row r="41" spans="1:7">
      <c r="A41" t="s">
        <v>46</v>
      </c>
      <c r="B41" t="str">
        <f t="shared" si="0"/>
        <v>2022</v>
      </c>
      <c r="C41" t="str">
        <f t="shared" si="1"/>
        <v>September</v>
      </c>
      <c r="D41">
        <v>68</v>
      </c>
      <c r="E41">
        <v>57.8</v>
      </c>
      <c r="F41">
        <v>78.099999999999994</v>
      </c>
      <c r="G41">
        <v>3.65</v>
      </c>
    </row>
    <row r="42" spans="1:7">
      <c r="A42" t="s">
        <v>47</v>
      </c>
      <c r="B42" t="str">
        <f t="shared" si="0"/>
        <v>2022</v>
      </c>
      <c r="C42" t="str">
        <f t="shared" si="1"/>
        <v>August</v>
      </c>
      <c r="D42">
        <v>76.099999999999994</v>
      </c>
      <c r="E42">
        <v>65.8</v>
      </c>
      <c r="F42">
        <v>86.3</v>
      </c>
      <c r="G42">
        <v>3.24</v>
      </c>
    </row>
    <row r="43" spans="1:7">
      <c r="A43" t="s">
        <v>48</v>
      </c>
      <c r="B43" t="str">
        <f t="shared" si="0"/>
        <v>2022</v>
      </c>
      <c r="C43" t="str">
        <f t="shared" si="1"/>
        <v>July</v>
      </c>
      <c r="D43">
        <v>77.2</v>
      </c>
      <c r="E43">
        <v>67.5</v>
      </c>
      <c r="F43">
        <v>86.8</v>
      </c>
      <c r="G43">
        <v>4.84</v>
      </c>
    </row>
    <row r="44" spans="1:7">
      <c r="A44" t="s">
        <v>49</v>
      </c>
      <c r="B44" t="str">
        <f t="shared" si="0"/>
        <v>2022</v>
      </c>
      <c r="C44" t="str">
        <f t="shared" si="1"/>
        <v>June</v>
      </c>
      <c r="D44">
        <v>71.7</v>
      </c>
      <c r="E44">
        <v>61</v>
      </c>
      <c r="F44">
        <v>82.4</v>
      </c>
      <c r="G44">
        <v>2.99</v>
      </c>
    </row>
    <row r="45" spans="1:7">
      <c r="A45" t="s">
        <v>50</v>
      </c>
      <c r="B45" t="str">
        <f t="shared" si="0"/>
        <v>2022</v>
      </c>
      <c r="C45" t="str">
        <f t="shared" si="1"/>
        <v>May</v>
      </c>
      <c r="D45">
        <v>64.3</v>
      </c>
      <c r="E45">
        <v>54.4</v>
      </c>
      <c r="F45">
        <v>74.2</v>
      </c>
      <c r="G45">
        <v>6.44</v>
      </c>
    </row>
    <row r="46" spans="1:7">
      <c r="A46" t="s">
        <v>51</v>
      </c>
      <c r="B46" t="str">
        <f t="shared" si="0"/>
        <v>2022</v>
      </c>
      <c r="C46" t="str">
        <f t="shared" si="1"/>
        <v>April</v>
      </c>
      <c r="D46">
        <v>53.1</v>
      </c>
      <c r="E46">
        <v>42.2</v>
      </c>
      <c r="F46">
        <v>64</v>
      </c>
      <c r="G46">
        <v>3.14</v>
      </c>
    </row>
    <row r="47" spans="1:7">
      <c r="A47" t="s">
        <v>52</v>
      </c>
      <c r="B47" t="str">
        <f t="shared" si="0"/>
        <v>2022</v>
      </c>
      <c r="C47" t="str">
        <f t="shared" si="1"/>
        <v>March</v>
      </c>
      <c r="D47">
        <v>46.8</v>
      </c>
      <c r="E47">
        <v>35.799999999999997</v>
      </c>
      <c r="F47">
        <v>57.8</v>
      </c>
      <c r="G47">
        <v>2.06</v>
      </c>
    </row>
    <row r="48" spans="1:7">
      <c r="A48" t="s">
        <v>53</v>
      </c>
      <c r="B48" t="str">
        <f t="shared" si="0"/>
        <v>2022</v>
      </c>
      <c r="C48" t="str">
        <f t="shared" si="1"/>
        <v>February</v>
      </c>
      <c r="D48">
        <v>38.700000000000003</v>
      </c>
      <c r="E48">
        <v>27.8</v>
      </c>
      <c r="F48">
        <v>49.6</v>
      </c>
      <c r="G48">
        <v>2.2000000000000002</v>
      </c>
    </row>
    <row r="49" spans="1:7">
      <c r="A49" t="s">
        <v>54</v>
      </c>
      <c r="B49" t="str">
        <f t="shared" si="0"/>
        <v>2022</v>
      </c>
      <c r="C49" t="str">
        <f t="shared" si="1"/>
        <v>January</v>
      </c>
      <c r="D49">
        <v>30.4</v>
      </c>
      <c r="E49">
        <v>22.3</v>
      </c>
      <c r="F49">
        <v>38.5</v>
      </c>
      <c r="G49">
        <v>3.33</v>
      </c>
    </row>
    <row r="50" spans="1:7">
      <c r="A50" t="s">
        <v>55</v>
      </c>
      <c r="B50" t="str">
        <f t="shared" si="0"/>
        <v>2021</v>
      </c>
      <c r="C50" t="str">
        <f t="shared" si="1"/>
        <v>December</v>
      </c>
      <c r="D50">
        <v>43.7</v>
      </c>
      <c r="E50">
        <v>34.6</v>
      </c>
      <c r="F50">
        <v>52.8</v>
      </c>
      <c r="G50">
        <v>0.67</v>
      </c>
    </row>
    <row r="51" spans="1:7">
      <c r="A51" t="s">
        <v>56</v>
      </c>
      <c r="B51" t="str">
        <f t="shared" si="0"/>
        <v>2021</v>
      </c>
      <c r="C51" t="str">
        <f t="shared" si="1"/>
        <v>November</v>
      </c>
      <c r="D51">
        <v>44</v>
      </c>
      <c r="E51">
        <v>33.799999999999997</v>
      </c>
      <c r="F51">
        <v>54.1</v>
      </c>
      <c r="G51">
        <v>1.02</v>
      </c>
    </row>
    <row r="52" spans="1:7">
      <c r="A52" t="s">
        <v>57</v>
      </c>
      <c r="B52" t="str">
        <f t="shared" si="0"/>
        <v>2021</v>
      </c>
      <c r="C52" t="str">
        <f t="shared" si="1"/>
        <v>October</v>
      </c>
      <c r="D52">
        <v>62.6</v>
      </c>
      <c r="E52">
        <v>53.7</v>
      </c>
      <c r="F52">
        <v>71.400000000000006</v>
      </c>
      <c r="G52">
        <v>3.31</v>
      </c>
    </row>
    <row r="53" spans="1:7">
      <c r="A53" t="s">
        <v>58</v>
      </c>
      <c r="B53" t="str">
        <f t="shared" si="0"/>
        <v>2021</v>
      </c>
      <c r="C53" t="str">
        <f t="shared" si="1"/>
        <v>September</v>
      </c>
      <c r="D53">
        <v>68.900000000000006</v>
      </c>
      <c r="E53">
        <v>58.9</v>
      </c>
      <c r="F53">
        <v>78.900000000000006</v>
      </c>
      <c r="G53">
        <v>6.33</v>
      </c>
    </row>
    <row r="54" spans="1:7">
      <c r="A54" t="s">
        <v>59</v>
      </c>
      <c r="B54" t="str">
        <f t="shared" si="0"/>
        <v>2021</v>
      </c>
      <c r="C54" t="str">
        <f t="shared" si="1"/>
        <v>August</v>
      </c>
      <c r="D54">
        <v>76.599999999999994</v>
      </c>
      <c r="E54">
        <v>67.099999999999994</v>
      </c>
      <c r="F54">
        <v>86.2</v>
      </c>
      <c r="G54">
        <v>5.92</v>
      </c>
    </row>
    <row r="55" spans="1:7">
      <c r="A55" t="s">
        <v>60</v>
      </c>
      <c r="B55" t="str">
        <f t="shared" si="0"/>
        <v>2021</v>
      </c>
      <c r="C55" t="str">
        <f t="shared" si="1"/>
        <v>July</v>
      </c>
      <c r="D55">
        <v>77</v>
      </c>
      <c r="E55">
        <v>66.599999999999994</v>
      </c>
      <c r="F55">
        <v>87.4</v>
      </c>
      <c r="G55">
        <v>3.51</v>
      </c>
    </row>
    <row r="56" spans="1:7">
      <c r="A56" t="s">
        <v>61</v>
      </c>
      <c r="B56" t="str">
        <f t="shared" si="0"/>
        <v>2021</v>
      </c>
      <c r="C56" t="str">
        <f t="shared" si="1"/>
        <v>June</v>
      </c>
      <c r="D56">
        <v>73.099999999999994</v>
      </c>
      <c r="E56">
        <v>62.9</v>
      </c>
      <c r="F56">
        <v>83.4</v>
      </c>
      <c r="G56">
        <v>4.22</v>
      </c>
    </row>
    <row r="57" spans="1:7">
      <c r="A57" t="s">
        <v>62</v>
      </c>
      <c r="B57" t="str">
        <f t="shared" si="0"/>
        <v>2021</v>
      </c>
      <c r="C57" t="str">
        <f t="shared" si="1"/>
        <v>May</v>
      </c>
      <c r="D57">
        <v>62</v>
      </c>
      <c r="E57">
        <v>50.1</v>
      </c>
      <c r="F57">
        <v>73.8</v>
      </c>
      <c r="G57">
        <v>3.2</v>
      </c>
    </row>
    <row r="58" spans="1:7">
      <c r="A58" t="s">
        <v>63</v>
      </c>
      <c r="B58" t="str">
        <f t="shared" si="0"/>
        <v>2021</v>
      </c>
      <c r="C58" t="str">
        <f t="shared" si="1"/>
        <v>April</v>
      </c>
      <c r="D58">
        <v>55.2</v>
      </c>
      <c r="E58">
        <v>44.1</v>
      </c>
      <c r="F58">
        <v>66.2</v>
      </c>
      <c r="G58">
        <v>2.92</v>
      </c>
    </row>
    <row r="59" spans="1:7">
      <c r="A59" t="s">
        <v>64</v>
      </c>
      <c r="B59" t="str">
        <f t="shared" si="0"/>
        <v>2021</v>
      </c>
      <c r="C59" t="str">
        <f t="shared" si="1"/>
        <v>March</v>
      </c>
      <c r="D59">
        <v>47.6</v>
      </c>
      <c r="E59">
        <v>36.700000000000003</v>
      </c>
      <c r="F59">
        <v>58.4</v>
      </c>
      <c r="G59">
        <v>2.7</v>
      </c>
    </row>
    <row r="60" spans="1:7">
      <c r="A60" t="s">
        <v>65</v>
      </c>
      <c r="B60" t="str">
        <f t="shared" si="0"/>
        <v>2021</v>
      </c>
      <c r="C60" t="str">
        <f t="shared" si="1"/>
        <v>February</v>
      </c>
      <c r="D60">
        <v>34.4</v>
      </c>
      <c r="E60">
        <v>27.8</v>
      </c>
      <c r="F60">
        <v>40.9</v>
      </c>
      <c r="G60">
        <v>4.1100000000000003</v>
      </c>
    </row>
    <row r="61" spans="1:7">
      <c r="A61" t="s">
        <v>66</v>
      </c>
      <c r="B61" t="str">
        <f t="shared" si="0"/>
        <v>2021</v>
      </c>
      <c r="C61" t="str">
        <f t="shared" si="1"/>
        <v>January</v>
      </c>
      <c r="D61">
        <v>35.4</v>
      </c>
      <c r="E61">
        <v>28.2</v>
      </c>
      <c r="F61">
        <v>42.5</v>
      </c>
      <c r="G61">
        <v>1.84</v>
      </c>
    </row>
    <row r="62" spans="1:7">
      <c r="A62" t="s">
        <v>67</v>
      </c>
      <c r="B62" t="str">
        <f t="shared" si="0"/>
        <v>2020</v>
      </c>
      <c r="C62" t="str">
        <f t="shared" si="1"/>
        <v>December</v>
      </c>
      <c r="D62">
        <v>37.9</v>
      </c>
      <c r="E62">
        <v>29.9</v>
      </c>
      <c r="F62">
        <v>45.9</v>
      </c>
      <c r="G62">
        <v>5.47</v>
      </c>
    </row>
    <row r="63" spans="1:7">
      <c r="A63" t="s">
        <v>68</v>
      </c>
      <c r="B63" t="str">
        <f t="shared" si="0"/>
        <v>2020</v>
      </c>
      <c r="C63" t="str">
        <f t="shared" si="1"/>
        <v>November</v>
      </c>
      <c r="D63">
        <v>51</v>
      </c>
      <c r="E63">
        <v>40.700000000000003</v>
      </c>
      <c r="F63">
        <v>61.3</v>
      </c>
      <c r="G63">
        <v>3.97</v>
      </c>
    </row>
    <row r="64" spans="1:7">
      <c r="A64" t="s">
        <v>69</v>
      </c>
      <c r="B64" t="str">
        <f t="shared" si="0"/>
        <v>2020</v>
      </c>
      <c r="C64" t="str">
        <f t="shared" si="1"/>
        <v>October</v>
      </c>
      <c r="D64">
        <v>58.3</v>
      </c>
      <c r="E64">
        <v>48.7</v>
      </c>
      <c r="F64">
        <v>68</v>
      </c>
      <c r="G64">
        <v>3.86</v>
      </c>
    </row>
    <row r="65" spans="1:7">
      <c r="A65" t="s">
        <v>70</v>
      </c>
      <c r="B65" t="str">
        <f t="shared" si="0"/>
        <v>2020</v>
      </c>
      <c r="C65" t="str">
        <f t="shared" si="1"/>
        <v>September</v>
      </c>
      <c r="D65">
        <v>66.2</v>
      </c>
      <c r="E65">
        <v>56.8</v>
      </c>
      <c r="F65">
        <v>75.599999999999994</v>
      </c>
      <c r="G65">
        <v>3.97</v>
      </c>
    </row>
    <row r="66" spans="1:7">
      <c r="A66" t="s">
        <v>71</v>
      </c>
      <c r="B66" t="str">
        <f t="shared" si="0"/>
        <v>2020</v>
      </c>
      <c r="C66" t="str">
        <f t="shared" si="1"/>
        <v>August</v>
      </c>
      <c r="D66">
        <v>75.900000000000006</v>
      </c>
      <c r="E66">
        <v>67.2</v>
      </c>
      <c r="F66">
        <v>84.6</v>
      </c>
      <c r="G66">
        <v>7.55</v>
      </c>
    </row>
    <row r="67" spans="1:7">
      <c r="A67" t="s">
        <v>72</v>
      </c>
      <c r="B67" t="str">
        <f t="shared" ref="B67:B109" si="2">RIGHT($A67,4)</f>
        <v>2020</v>
      </c>
      <c r="C67" t="str">
        <f t="shared" ref="C67:C109" si="3">LEFT($A67,FIND(",",$A67)-1)</f>
        <v>July</v>
      </c>
      <c r="D67">
        <v>79.900000000000006</v>
      </c>
      <c r="E67">
        <v>69.5</v>
      </c>
      <c r="F67">
        <v>90.2</v>
      </c>
      <c r="G67">
        <v>3.9</v>
      </c>
    </row>
    <row r="68" spans="1:7">
      <c r="A68" t="s">
        <v>73</v>
      </c>
      <c r="B68" t="str">
        <f t="shared" si="2"/>
        <v>2020</v>
      </c>
      <c r="C68" t="str">
        <f t="shared" si="3"/>
        <v>June</v>
      </c>
      <c r="D68">
        <v>72.599999999999994</v>
      </c>
      <c r="E68">
        <v>62.2</v>
      </c>
      <c r="F68">
        <v>82.9</v>
      </c>
      <c r="G68">
        <v>5.22</v>
      </c>
    </row>
    <row r="69" spans="1:7">
      <c r="A69" t="s">
        <v>74</v>
      </c>
      <c r="B69" t="str">
        <f t="shared" si="2"/>
        <v>2020</v>
      </c>
      <c r="C69" t="str">
        <f t="shared" si="3"/>
        <v>May</v>
      </c>
      <c r="D69">
        <v>60.5</v>
      </c>
      <c r="E69">
        <v>50.8</v>
      </c>
      <c r="F69">
        <v>70.099999999999994</v>
      </c>
      <c r="G69">
        <v>2.91</v>
      </c>
    </row>
    <row r="70" spans="1:7">
      <c r="A70" t="s">
        <v>75</v>
      </c>
      <c r="B70" t="str">
        <f t="shared" si="2"/>
        <v>2020</v>
      </c>
      <c r="C70" t="str">
        <f t="shared" si="3"/>
        <v>April</v>
      </c>
      <c r="D70">
        <v>51.6</v>
      </c>
      <c r="E70">
        <v>41.6</v>
      </c>
      <c r="F70">
        <v>61.6</v>
      </c>
      <c r="G70">
        <v>5.48</v>
      </c>
    </row>
    <row r="71" spans="1:7">
      <c r="A71" t="s">
        <v>76</v>
      </c>
      <c r="B71" t="str">
        <f t="shared" si="2"/>
        <v>2020</v>
      </c>
      <c r="C71" t="str">
        <f t="shared" si="3"/>
        <v>March</v>
      </c>
      <c r="D71">
        <v>49.4</v>
      </c>
      <c r="E71">
        <v>39.299999999999997</v>
      </c>
      <c r="F71">
        <v>59.5</v>
      </c>
      <c r="G71">
        <v>2.59</v>
      </c>
    </row>
    <row r="72" spans="1:7">
      <c r="A72" t="s">
        <v>77</v>
      </c>
      <c r="B72" t="str">
        <f t="shared" si="2"/>
        <v>2020</v>
      </c>
      <c r="C72" t="str">
        <f t="shared" si="3"/>
        <v>February</v>
      </c>
      <c r="D72">
        <v>40.9</v>
      </c>
      <c r="E72">
        <v>31.9</v>
      </c>
      <c r="F72">
        <v>49.9</v>
      </c>
      <c r="G72">
        <v>3.37</v>
      </c>
    </row>
    <row r="73" spans="1:7">
      <c r="A73" t="s">
        <v>78</v>
      </c>
      <c r="B73" t="str">
        <f t="shared" si="2"/>
        <v>2020</v>
      </c>
      <c r="C73" t="str">
        <f t="shared" si="3"/>
        <v>January</v>
      </c>
      <c r="D73">
        <v>38.6</v>
      </c>
      <c r="E73">
        <v>30.6</v>
      </c>
      <c r="F73">
        <v>46.6</v>
      </c>
      <c r="G73">
        <v>3.02</v>
      </c>
    </row>
    <row r="74" spans="1:7">
      <c r="A74" t="s">
        <v>79</v>
      </c>
      <c r="B74" t="str">
        <f t="shared" si="2"/>
        <v>2019</v>
      </c>
      <c r="C74" t="str">
        <f t="shared" si="3"/>
        <v>December</v>
      </c>
      <c r="D74">
        <v>38.299999999999997</v>
      </c>
      <c r="E74">
        <v>30.4</v>
      </c>
      <c r="F74">
        <v>46.2</v>
      </c>
      <c r="G74">
        <v>3.4</v>
      </c>
    </row>
    <row r="75" spans="1:7">
      <c r="A75" t="s">
        <v>80</v>
      </c>
      <c r="B75" t="str">
        <f t="shared" si="2"/>
        <v>2019</v>
      </c>
      <c r="C75" t="str">
        <f t="shared" si="3"/>
        <v>November</v>
      </c>
      <c r="D75">
        <v>42.2</v>
      </c>
      <c r="E75">
        <v>32.799999999999997</v>
      </c>
      <c r="F75">
        <v>51.7</v>
      </c>
      <c r="G75">
        <v>1.87</v>
      </c>
    </row>
    <row r="76" spans="1:7">
      <c r="A76" t="s">
        <v>81</v>
      </c>
      <c r="B76" t="str">
        <f t="shared" si="2"/>
        <v>2019</v>
      </c>
      <c r="C76" t="str">
        <f t="shared" si="3"/>
        <v>October</v>
      </c>
      <c r="D76">
        <v>59.8</v>
      </c>
      <c r="E76">
        <v>50.1</v>
      </c>
      <c r="F76">
        <v>69.400000000000006</v>
      </c>
      <c r="G76">
        <v>6.25</v>
      </c>
    </row>
    <row r="77" spans="1:7">
      <c r="A77" t="s">
        <v>82</v>
      </c>
      <c r="B77" t="str">
        <f t="shared" si="2"/>
        <v>2019</v>
      </c>
      <c r="C77" t="str">
        <f t="shared" si="3"/>
        <v>September</v>
      </c>
      <c r="D77">
        <v>71.7</v>
      </c>
      <c r="E77">
        <v>60.5</v>
      </c>
      <c r="F77">
        <v>82.9</v>
      </c>
      <c r="G77">
        <v>0.37</v>
      </c>
    </row>
    <row r="78" spans="1:7">
      <c r="A78" t="s">
        <v>83</v>
      </c>
      <c r="B78" t="str">
        <f t="shared" si="2"/>
        <v>2019</v>
      </c>
      <c r="C78" t="str">
        <f t="shared" si="3"/>
        <v>August</v>
      </c>
      <c r="D78">
        <v>75</v>
      </c>
      <c r="E78">
        <v>64.7</v>
      </c>
      <c r="F78">
        <v>85.3</v>
      </c>
      <c r="G78">
        <v>3.13</v>
      </c>
    </row>
    <row r="79" spans="1:7">
      <c r="A79" t="s">
        <v>84</v>
      </c>
      <c r="B79" t="str">
        <f t="shared" si="2"/>
        <v>2019</v>
      </c>
      <c r="C79" t="str">
        <f t="shared" si="3"/>
        <v>July</v>
      </c>
      <c r="D79">
        <v>78.099999999999994</v>
      </c>
      <c r="E79">
        <v>67.3</v>
      </c>
      <c r="F79">
        <v>88.9</v>
      </c>
      <c r="G79">
        <v>5.75</v>
      </c>
    </row>
    <row r="80" spans="1:7">
      <c r="A80" t="s">
        <v>85</v>
      </c>
      <c r="B80" t="str">
        <f t="shared" si="2"/>
        <v>2019</v>
      </c>
      <c r="C80" t="str">
        <f t="shared" si="3"/>
        <v>June</v>
      </c>
      <c r="D80">
        <v>72.2</v>
      </c>
      <c r="E80">
        <v>61.8</v>
      </c>
      <c r="F80">
        <v>82.7</v>
      </c>
      <c r="G80">
        <v>3.5</v>
      </c>
    </row>
    <row r="81" spans="1:7">
      <c r="A81" t="s">
        <v>86</v>
      </c>
      <c r="B81" t="str">
        <f t="shared" si="2"/>
        <v>2019</v>
      </c>
      <c r="C81" t="str">
        <f t="shared" si="3"/>
        <v>May</v>
      </c>
      <c r="D81">
        <v>67.3</v>
      </c>
      <c r="E81">
        <v>57.1</v>
      </c>
      <c r="F81">
        <v>77.400000000000006</v>
      </c>
      <c r="G81">
        <v>5.69</v>
      </c>
    </row>
    <row r="82" spans="1:7">
      <c r="A82" t="s">
        <v>87</v>
      </c>
      <c r="B82" t="str">
        <f t="shared" si="2"/>
        <v>2019</v>
      </c>
      <c r="C82" t="str">
        <f t="shared" si="3"/>
        <v>April</v>
      </c>
      <c r="D82">
        <v>58.2</v>
      </c>
      <c r="E82">
        <v>47.5</v>
      </c>
      <c r="F82">
        <v>69</v>
      </c>
      <c r="G82">
        <v>2.54</v>
      </c>
    </row>
    <row r="83" spans="1:7">
      <c r="A83" t="s">
        <v>88</v>
      </c>
      <c r="B83" t="str">
        <f t="shared" si="2"/>
        <v>2019</v>
      </c>
      <c r="C83" t="str">
        <f t="shared" si="3"/>
        <v>March</v>
      </c>
      <c r="D83">
        <v>42.4</v>
      </c>
      <c r="E83">
        <v>32.4</v>
      </c>
      <c r="F83">
        <v>52.2</v>
      </c>
      <c r="G83">
        <v>4.62</v>
      </c>
    </row>
    <row r="84" spans="1:7">
      <c r="A84" t="s">
        <v>89</v>
      </c>
      <c r="B84" t="str">
        <f t="shared" si="2"/>
        <v>2019</v>
      </c>
      <c r="C84" t="str">
        <f t="shared" si="3"/>
        <v>February</v>
      </c>
      <c r="D84">
        <v>37.4</v>
      </c>
      <c r="E84">
        <v>28.9</v>
      </c>
      <c r="F84">
        <v>45.8</v>
      </c>
      <c r="G84">
        <v>3.48</v>
      </c>
    </row>
    <row r="85" spans="1:7">
      <c r="A85" t="s">
        <v>90</v>
      </c>
      <c r="B85" t="str">
        <f t="shared" si="2"/>
        <v>2019</v>
      </c>
      <c r="C85" t="str">
        <f t="shared" si="3"/>
        <v>January</v>
      </c>
      <c r="D85">
        <v>33.4</v>
      </c>
      <c r="E85">
        <v>25.3</v>
      </c>
      <c r="F85">
        <v>41.4</v>
      </c>
      <c r="G85">
        <v>3.49</v>
      </c>
    </row>
    <row r="86" spans="1:7">
      <c r="A86" t="s">
        <v>91</v>
      </c>
      <c r="B86" t="str">
        <f t="shared" si="2"/>
        <v>2018</v>
      </c>
      <c r="C86" t="str">
        <f t="shared" si="3"/>
        <v>December</v>
      </c>
      <c r="D86">
        <v>38.6</v>
      </c>
      <c r="E86">
        <v>30.5</v>
      </c>
      <c r="F86">
        <v>46.6</v>
      </c>
      <c r="G86">
        <v>5.55</v>
      </c>
    </row>
    <row r="87" spans="1:7">
      <c r="A87" t="s">
        <v>92</v>
      </c>
      <c r="B87" t="str">
        <f t="shared" si="2"/>
        <v>2018</v>
      </c>
      <c r="C87" t="str">
        <f t="shared" si="3"/>
        <v>November</v>
      </c>
      <c r="D87">
        <v>42.2</v>
      </c>
      <c r="E87">
        <v>35.200000000000003</v>
      </c>
      <c r="F87">
        <v>49.2</v>
      </c>
      <c r="G87">
        <v>7.37</v>
      </c>
    </row>
    <row r="88" spans="1:7">
      <c r="A88" t="s">
        <v>93</v>
      </c>
      <c r="B88" t="str">
        <f t="shared" si="2"/>
        <v>2018</v>
      </c>
      <c r="C88" t="str">
        <f t="shared" si="3"/>
        <v>October</v>
      </c>
      <c r="D88">
        <v>58.3</v>
      </c>
      <c r="E88">
        <v>49.6</v>
      </c>
      <c r="F88">
        <v>67</v>
      </c>
      <c r="G88">
        <v>2.68</v>
      </c>
    </row>
    <row r="89" spans="1:7">
      <c r="A89" t="s">
        <v>94</v>
      </c>
      <c r="B89" t="str">
        <f t="shared" si="2"/>
        <v>2018</v>
      </c>
      <c r="C89" t="str">
        <f t="shared" si="3"/>
        <v>September</v>
      </c>
      <c r="D89">
        <v>71.3</v>
      </c>
      <c r="E89">
        <v>64.3</v>
      </c>
      <c r="F89">
        <v>78.3</v>
      </c>
      <c r="G89">
        <v>9.67</v>
      </c>
    </row>
    <row r="90" spans="1:7">
      <c r="A90" t="s">
        <v>95</v>
      </c>
      <c r="B90" t="str">
        <f t="shared" si="2"/>
        <v>2018</v>
      </c>
      <c r="C90" t="str">
        <f t="shared" si="3"/>
        <v>August</v>
      </c>
      <c r="D90">
        <v>76.2</v>
      </c>
      <c r="E90">
        <v>67</v>
      </c>
      <c r="F90">
        <v>85.3</v>
      </c>
      <c r="G90">
        <v>5.29</v>
      </c>
    </row>
    <row r="91" spans="1:7">
      <c r="A91" t="s">
        <v>96</v>
      </c>
      <c r="B91" t="str">
        <f t="shared" si="2"/>
        <v>2018</v>
      </c>
      <c r="C91" t="str">
        <f t="shared" si="3"/>
        <v>July</v>
      </c>
      <c r="D91">
        <v>75.900000000000006</v>
      </c>
      <c r="E91">
        <v>66</v>
      </c>
      <c r="F91">
        <v>85.7</v>
      </c>
      <c r="G91">
        <v>9.41</v>
      </c>
    </row>
    <row r="92" spans="1:7">
      <c r="A92" t="s">
        <v>97</v>
      </c>
      <c r="B92" t="str">
        <f t="shared" si="2"/>
        <v>2018</v>
      </c>
      <c r="C92" t="str">
        <f t="shared" si="3"/>
        <v>June</v>
      </c>
      <c r="D92">
        <v>71.400000000000006</v>
      </c>
      <c r="E92">
        <v>61.8</v>
      </c>
      <c r="F92">
        <v>81.099999999999994</v>
      </c>
      <c r="G92">
        <v>5.3</v>
      </c>
    </row>
    <row r="93" spans="1:7">
      <c r="A93" t="s">
        <v>98</v>
      </c>
      <c r="B93" t="str">
        <f t="shared" si="2"/>
        <v>2018</v>
      </c>
      <c r="C93" t="str">
        <f t="shared" si="3"/>
        <v>May</v>
      </c>
      <c r="D93">
        <v>68.900000000000006</v>
      </c>
      <c r="E93">
        <v>58.2</v>
      </c>
      <c r="F93">
        <v>79.599999999999994</v>
      </c>
      <c r="G93">
        <v>7.23</v>
      </c>
    </row>
    <row r="94" spans="1:7">
      <c r="A94" t="s">
        <v>99</v>
      </c>
      <c r="B94" t="str">
        <f t="shared" si="2"/>
        <v>2018</v>
      </c>
      <c r="C94" t="str">
        <f t="shared" si="3"/>
        <v>April</v>
      </c>
      <c r="D94">
        <v>51.2</v>
      </c>
      <c r="E94">
        <v>40.799999999999997</v>
      </c>
      <c r="F94">
        <v>61.6</v>
      </c>
      <c r="G94">
        <v>3.7</v>
      </c>
    </row>
    <row r="95" spans="1:7">
      <c r="A95" t="s">
        <v>100</v>
      </c>
      <c r="B95" t="str">
        <f t="shared" si="2"/>
        <v>2018</v>
      </c>
      <c r="C95" t="str">
        <f t="shared" si="3"/>
        <v>March</v>
      </c>
      <c r="D95">
        <v>39.200000000000003</v>
      </c>
      <c r="E95">
        <v>30</v>
      </c>
      <c r="F95">
        <v>48.4</v>
      </c>
      <c r="G95">
        <v>2.06</v>
      </c>
    </row>
    <row r="96" spans="1:7">
      <c r="A96" t="s">
        <v>101</v>
      </c>
      <c r="B96" t="str">
        <f t="shared" si="2"/>
        <v>2018</v>
      </c>
      <c r="C96" t="str">
        <f t="shared" si="3"/>
        <v>February</v>
      </c>
      <c r="D96">
        <v>41.2</v>
      </c>
      <c r="E96">
        <v>32.4</v>
      </c>
      <c r="F96">
        <v>50</v>
      </c>
      <c r="G96">
        <v>4.42</v>
      </c>
    </row>
    <row r="97" spans="1:7">
      <c r="A97" t="s">
        <v>102</v>
      </c>
      <c r="B97" t="str">
        <f t="shared" si="2"/>
        <v>2018</v>
      </c>
      <c r="C97" t="str">
        <f t="shared" si="3"/>
        <v>January</v>
      </c>
      <c r="D97">
        <v>31.4</v>
      </c>
      <c r="E97">
        <v>21.8</v>
      </c>
      <c r="F97">
        <v>41</v>
      </c>
      <c r="G97">
        <v>1.57</v>
      </c>
    </row>
    <row r="98" spans="1:7">
      <c r="A98" t="s">
        <v>103</v>
      </c>
      <c r="B98" t="str">
        <f t="shared" si="2"/>
        <v>2017</v>
      </c>
      <c r="C98" t="str">
        <f t="shared" si="3"/>
        <v>December</v>
      </c>
      <c r="D98" s="2">
        <v>38.450000000000003</v>
      </c>
      <c r="E98" s="2">
        <v>30.037500000000001</v>
      </c>
      <c r="F98" s="2">
        <v>46.85</v>
      </c>
      <c r="G98" s="2">
        <v>3.7875000000000001</v>
      </c>
    </row>
    <row r="99" spans="1:7">
      <c r="A99" t="s">
        <v>104</v>
      </c>
      <c r="B99" t="str">
        <f t="shared" si="2"/>
        <v>2017</v>
      </c>
      <c r="C99" t="str">
        <f t="shared" si="3"/>
        <v>November</v>
      </c>
      <c r="D99" s="2">
        <v>46.137499999999996</v>
      </c>
      <c r="E99" s="2">
        <v>36.512499999999996</v>
      </c>
      <c r="F99" s="2">
        <v>55.737499999999997</v>
      </c>
      <c r="G99" s="2">
        <v>2.7712500000000002</v>
      </c>
    </row>
    <row r="100" spans="1:7">
      <c r="A100" t="s">
        <v>105</v>
      </c>
      <c r="B100" t="str">
        <f t="shared" si="2"/>
        <v>2017</v>
      </c>
      <c r="C100" t="str">
        <f t="shared" si="3"/>
        <v>October</v>
      </c>
      <c r="D100" s="2">
        <v>58.375000000000007</v>
      </c>
      <c r="E100" s="2">
        <v>48.300000000000004</v>
      </c>
      <c r="F100" s="2">
        <v>68.412499999999994</v>
      </c>
      <c r="G100" s="2">
        <v>2.8312499999999998</v>
      </c>
    </row>
    <row r="101" spans="1:7">
      <c r="A101" t="s">
        <v>106</v>
      </c>
      <c r="B101" t="str">
        <f t="shared" si="2"/>
        <v>2017</v>
      </c>
      <c r="C101" t="str">
        <f t="shared" si="3"/>
        <v>September</v>
      </c>
      <c r="D101" s="2">
        <v>68.949999999999989</v>
      </c>
      <c r="E101" s="2">
        <v>59.35</v>
      </c>
      <c r="F101" s="2">
        <v>78.524999999999991</v>
      </c>
      <c r="G101" s="2">
        <v>4.4612499999999997</v>
      </c>
    </row>
    <row r="102" spans="1:7">
      <c r="A102" t="s">
        <v>107</v>
      </c>
      <c r="B102" t="str">
        <f t="shared" si="2"/>
        <v>2017</v>
      </c>
      <c r="C102" t="str">
        <f t="shared" si="3"/>
        <v>August</v>
      </c>
      <c r="D102" s="2">
        <v>75.050000000000011</v>
      </c>
      <c r="E102" s="2">
        <v>65.3</v>
      </c>
      <c r="F102" s="2">
        <v>84.774999999999991</v>
      </c>
      <c r="G102" s="2">
        <v>4.5925000000000002</v>
      </c>
    </row>
    <row r="103" spans="1:7">
      <c r="A103" t="s">
        <v>108</v>
      </c>
      <c r="B103" t="str">
        <f t="shared" si="2"/>
        <v>2017</v>
      </c>
      <c r="C103" t="str">
        <f t="shared" si="3"/>
        <v>July</v>
      </c>
      <c r="D103" s="2">
        <v>78.100000000000009</v>
      </c>
      <c r="E103" s="2">
        <v>67.949999999999989</v>
      </c>
      <c r="F103" s="2">
        <v>88.225000000000009</v>
      </c>
      <c r="G103" s="2">
        <v>4.9912499999999991</v>
      </c>
    </row>
    <row r="104" spans="1:7">
      <c r="A104" t="s">
        <v>109</v>
      </c>
      <c r="B104" t="str">
        <f t="shared" si="2"/>
        <v>2017</v>
      </c>
      <c r="C104" t="str">
        <f t="shared" si="3"/>
        <v>June</v>
      </c>
      <c r="D104" s="2">
        <v>72.325000000000003</v>
      </c>
      <c r="E104" s="2">
        <v>61.824999999999996</v>
      </c>
      <c r="F104" s="2">
        <v>82.862500000000011</v>
      </c>
      <c r="G104" s="2">
        <v>3.7374999999999998</v>
      </c>
    </row>
    <row r="105" spans="1:7">
      <c r="A105" t="s">
        <v>110</v>
      </c>
      <c r="B105" t="str">
        <f t="shared" si="2"/>
        <v>2017</v>
      </c>
      <c r="C105" t="str">
        <f t="shared" si="3"/>
        <v>May</v>
      </c>
      <c r="D105" s="2">
        <v>64.162500000000009</v>
      </c>
      <c r="E105" s="2">
        <v>53.787500000000001</v>
      </c>
      <c r="F105" s="2">
        <v>74.487499999999997</v>
      </c>
      <c r="G105" s="2">
        <v>4.9774999999999991</v>
      </c>
    </row>
    <row r="106" spans="1:7">
      <c r="A106" t="s">
        <v>111</v>
      </c>
      <c r="B106" t="str">
        <f t="shared" si="2"/>
        <v>2017</v>
      </c>
      <c r="C106" t="str">
        <f t="shared" si="3"/>
        <v>April</v>
      </c>
      <c r="D106" s="2">
        <v>55.287500000000001</v>
      </c>
      <c r="E106" s="2">
        <v>44.55</v>
      </c>
      <c r="F106" s="2">
        <v>66.012500000000003</v>
      </c>
      <c r="G106" s="2">
        <v>3.2587499999999996</v>
      </c>
    </row>
    <row r="107" spans="1:7">
      <c r="A107" t="s">
        <v>112</v>
      </c>
      <c r="B107" t="str">
        <f t="shared" si="2"/>
        <v>2017</v>
      </c>
      <c r="C107" t="str">
        <f t="shared" si="3"/>
        <v>March</v>
      </c>
      <c r="D107" s="2">
        <v>46.137499999999996</v>
      </c>
      <c r="E107" s="2">
        <v>35.674999999999997</v>
      </c>
      <c r="F107" s="2">
        <v>56.54999999999999</v>
      </c>
      <c r="G107" s="2">
        <v>2.7174999999999998</v>
      </c>
    </row>
    <row r="108" spans="1:7">
      <c r="A108" t="s">
        <v>113</v>
      </c>
      <c r="B108" t="str">
        <f t="shared" si="2"/>
        <v>2017</v>
      </c>
      <c r="C108" t="str">
        <f t="shared" si="3"/>
        <v>February</v>
      </c>
      <c r="D108" s="2">
        <v>39.199999999999996</v>
      </c>
      <c r="E108" s="2">
        <v>30.175000000000001</v>
      </c>
      <c r="F108" s="2">
        <v>48.1875</v>
      </c>
      <c r="G108" s="2">
        <v>2.9675000000000002</v>
      </c>
    </row>
    <row r="109" spans="1:7">
      <c r="A109" t="s">
        <v>114</v>
      </c>
      <c r="B109" t="str">
        <f t="shared" si="2"/>
        <v>2017</v>
      </c>
      <c r="C109" t="str">
        <f t="shared" si="3"/>
        <v>January</v>
      </c>
      <c r="D109" s="2">
        <v>34.612499999999997</v>
      </c>
      <c r="E109" s="2">
        <v>26.512500000000003</v>
      </c>
      <c r="F109" s="2">
        <v>42.674999999999997</v>
      </c>
      <c r="G109" s="2">
        <v>2.8312499999999998</v>
      </c>
    </row>
  </sheetData>
  <autoFilter ref="A1:G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2026-01-29T22:55:36Z</dcterms:created>
  <dcterms:modified xsi:type="dcterms:W3CDTF">2026-02-22T23:17:52Z</dcterms:modified>
  <cp:category/>
  <cp:contentStatus/>
</cp:coreProperties>
</file>