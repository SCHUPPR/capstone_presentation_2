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54B508C3-0E4F-49AA-91BF-CC85A47E5C5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LS Data Seri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G3" i="1"/>
  <c r="G4" i="1"/>
  <c r="I3" i="1"/>
  <c r="I4" i="1"/>
  <c r="K3" i="1"/>
  <c r="K4" i="1"/>
  <c r="M3" i="1"/>
  <c r="M2" i="1"/>
  <c r="K2" i="1"/>
  <c r="I2" i="1"/>
  <c r="G2" i="1"/>
  <c r="E2" i="1"/>
  <c r="L6" i="1"/>
  <c r="L7" i="1"/>
  <c r="L8" i="1"/>
  <c r="L9" i="1"/>
  <c r="L10" i="1"/>
  <c r="L11" i="1"/>
  <c r="L5" i="1"/>
  <c r="J6" i="1"/>
  <c r="J7" i="1"/>
  <c r="J8" i="1"/>
  <c r="J9" i="1"/>
  <c r="J10" i="1"/>
  <c r="J11" i="1"/>
  <c r="J5" i="1"/>
  <c r="H6" i="1"/>
  <c r="H7" i="1"/>
  <c r="H8" i="1"/>
  <c r="H9" i="1"/>
  <c r="H10" i="1"/>
  <c r="H11" i="1"/>
  <c r="H12" i="1"/>
  <c r="H5" i="1"/>
  <c r="F6" i="1"/>
  <c r="F7" i="1"/>
  <c r="F8" i="1"/>
  <c r="F9" i="1"/>
  <c r="F10" i="1"/>
  <c r="F11" i="1"/>
  <c r="F12" i="1"/>
  <c r="F5" i="1"/>
  <c r="D5" i="1"/>
  <c r="D6" i="1"/>
  <c r="D7" i="1"/>
  <c r="D8" i="1"/>
  <c r="D9" i="1"/>
  <c r="D10" i="1"/>
  <c r="D11" i="1"/>
  <c r="D12" i="1"/>
  <c r="B6" i="1"/>
  <c r="B7" i="1"/>
  <c r="B8" i="1"/>
  <c r="B9" i="1"/>
  <c r="B10" i="1"/>
  <c r="B11" i="1"/>
  <c r="B12" i="1"/>
  <c r="B5" i="1"/>
  <c r="C3" i="1"/>
  <c r="C4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 xml:space="preserve">*  Data unavailable due to the 2025 lapse in appropriations
</t>
        </r>
      </text>
    </comment>
  </commentList>
</comments>
</file>

<file path=xl/sharedStrings.xml><?xml version="1.0" encoding="utf-8"?>
<sst xmlns="http://schemas.openxmlformats.org/spreadsheetml/2006/main" count="16" uniqueCount="16">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</sst>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0.000"/>
  </numFmts>
  <fonts count="3">
    <font>
      <sz val="11"/>
      <color indexed="8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70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5"/>
  <cols>
    <col min="1" max="1" width="20" customWidth="1"/>
    <col min="2" max="2" width="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2015</v>
      </c>
      <c r="B2" s="3">
        <v>240.20099999999999</v>
      </c>
      <c r="C2">
        <f>($B2+$D2)/2</f>
        <v>238.36699999999999</v>
      </c>
      <c r="D2" s="3">
        <v>236.53299999999999</v>
      </c>
      <c r="E2">
        <f>($D2+$F2)/2</f>
        <v>239.21600000000001</v>
      </c>
      <c r="F2" s="3">
        <v>241.899</v>
      </c>
      <c r="G2">
        <f>($F2+$H2)/2</f>
        <v>242.61500000000001</v>
      </c>
      <c r="H2" s="3">
        <v>243.33099999999999</v>
      </c>
      <c r="I2">
        <f>($H2+$J2)/2</f>
        <v>243.774</v>
      </c>
      <c r="J2" s="3">
        <v>244.21700000000001</v>
      </c>
      <c r="K2">
        <f>($J2+$L2)/2</f>
        <v>244.21700000000001</v>
      </c>
      <c r="L2" s="3">
        <v>244.21700000000001</v>
      </c>
      <c r="M2">
        <f>($L2+$N2)/2</f>
        <v>242.97500000000002</v>
      </c>
      <c r="N2" s="3">
        <v>241.733</v>
      </c>
      <c r="O2" s="3">
        <v>239.54400000000001</v>
      </c>
      <c r="P2" s="3">
        <v>243.922</v>
      </c>
    </row>
    <row r="3" spans="1:16">
      <c r="A3" s="2">
        <v>2016</v>
      </c>
      <c r="B3" s="3">
        <v>243.92699999999999</v>
      </c>
      <c r="C3">
        <f t="shared" ref="C3:C4" si="0">($B3+$D3)/2</f>
        <v>244.21350000000001</v>
      </c>
      <c r="D3" s="3">
        <v>244.5</v>
      </c>
      <c r="E3">
        <f t="shared" ref="E3:E4" si="1">($D3+$F3)/2</f>
        <v>243.84300000000002</v>
      </c>
      <c r="F3" s="3">
        <v>243.18600000000001</v>
      </c>
      <c r="G3">
        <f t="shared" ref="G3:G4" si="2">($F3+$H3)/2</f>
        <v>243.79900000000001</v>
      </c>
      <c r="H3" s="3">
        <v>244.41200000000001</v>
      </c>
      <c r="I3">
        <f t="shared" ref="I3:I4" si="3">($H3+$J3)/2</f>
        <v>244.053</v>
      </c>
      <c r="J3" s="3">
        <v>243.69399999999999</v>
      </c>
      <c r="K3">
        <f t="shared" ref="K3:K4" si="4">($J3+$L3)/2</f>
        <v>243.69650000000001</v>
      </c>
      <c r="L3" s="3">
        <v>243.69900000000001</v>
      </c>
      <c r="M3">
        <f>($L3+$N3)/2</f>
        <v>243.8015</v>
      </c>
      <c r="N3" s="3">
        <v>243.904</v>
      </c>
      <c r="O3" s="3">
        <v>243.87200000000001</v>
      </c>
      <c r="P3" s="3">
        <v>243.935</v>
      </c>
    </row>
    <row r="4" spans="1:16">
      <c r="A4" s="2">
        <v>2017</v>
      </c>
      <c r="B4" s="3">
        <v>244.90700000000001</v>
      </c>
      <c r="C4">
        <f t="shared" si="0"/>
        <v>244.90700000000001</v>
      </c>
      <c r="D4" s="3">
        <v>244.90700000000001</v>
      </c>
      <c r="E4">
        <f t="shared" si="1"/>
        <v>244.452</v>
      </c>
      <c r="F4" s="3">
        <v>243.99700000000001</v>
      </c>
      <c r="G4">
        <f t="shared" si="2"/>
        <v>245.38850000000002</v>
      </c>
      <c r="H4" s="3">
        <v>246.78</v>
      </c>
      <c r="I4">
        <f t="shared" si="3"/>
        <v>245.64850000000001</v>
      </c>
      <c r="J4" s="3">
        <v>244.517</v>
      </c>
      <c r="K4">
        <f t="shared" si="4"/>
        <v>245.5265</v>
      </c>
      <c r="L4" s="3">
        <v>246.536</v>
      </c>
      <c r="M4" s="3">
        <v>247.321</v>
      </c>
      <c r="N4" s="3">
        <v>245.34</v>
      </c>
      <c r="O4" s="3">
        <v>244.60400000000001</v>
      </c>
      <c r="P4" s="3">
        <v>246.07499999999999</v>
      </c>
    </row>
    <row r="5" spans="1:16">
      <c r="A5" s="2">
        <v>2018</v>
      </c>
      <c r="B5">
        <f>($C5+$M4)/2</f>
        <v>250.7355</v>
      </c>
      <c r="C5" s="3">
        <v>254.15</v>
      </c>
      <c r="D5">
        <f>($C5+$E5)/2</f>
        <v>254.94</v>
      </c>
      <c r="E5" s="3">
        <v>255.73</v>
      </c>
      <c r="F5">
        <f>($E5+$G5)/2</f>
        <v>260.20299999999997</v>
      </c>
      <c r="G5" s="3">
        <v>264.67599999999999</v>
      </c>
      <c r="H5">
        <f>($G5+$I5)/2</f>
        <v>264.77199999999999</v>
      </c>
      <c r="I5" s="3">
        <v>264.86799999999999</v>
      </c>
      <c r="J5">
        <f>($I5+$K5)/2</f>
        <v>264.73</v>
      </c>
      <c r="K5" s="3">
        <v>264.59199999999998</v>
      </c>
      <c r="L5">
        <f>($K5+$M5)/2</f>
        <v>264.91849999999999</v>
      </c>
      <c r="M5" s="3">
        <v>265.245</v>
      </c>
      <c r="N5" s="3">
        <v>260.04899999999998</v>
      </c>
      <c r="O5" s="3">
        <v>255.29300000000001</v>
      </c>
      <c r="P5" s="3">
        <v>264.80599999999998</v>
      </c>
    </row>
    <row r="6" spans="1:16">
      <c r="A6" s="2">
        <v>2019</v>
      </c>
      <c r="B6">
        <f t="shared" ref="B6:B12" si="5">($C6+$M5)/2</f>
        <v>265.529</v>
      </c>
      <c r="C6" s="3">
        <v>265.81299999999999</v>
      </c>
      <c r="D6">
        <f t="shared" ref="D6:D12" si="6">($C6+$E6)/2</f>
        <v>267.05200000000002</v>
      </c>
      <c r="E6" s="3">
        <v>268.291</v>
      </c>
      <c r="F6">
        <f t="shared" ref="F6:F12" si="7">($E6+$G6)/2</f>
        <v>267.89049999999997</v>
      </c>
      <c r="G6" s="3">
        <v>267.49</v>
      </c>
      <c r="H6">
        <f t="shared" ref="H6:H12" si="8">($G6+$I6)/2</f>
        <v>268.05600000000004</v>
      </c>
      <c r="I6" s="3">
        <v>268.62200000000001</v>
      </c>
      <c r="J6">
        <f t="shared" ref="J6:J11" si="9">($I6+$K6)/2</f>
        <v>268.14150000000001</v>
      </c>
      <c r="K6" s="3">
        <v>267.661</v>
      </c>
      <c r="L6">
        <f t="shared" ref="L6:L11" si="10">($K6+$M6)/2</f>
        <v>267.69299999999998</v>
      </c>
      <c r="M6" s="3">
        <v>267.72500000000002</v>
      </c>
      <c r="N6" s="3">
        <v>267.44</v>
      </c>
      <c r="O6" s="3">
        <v>266.91800000000001</v>
      </c>
      <c r="P6" s="3">
        <v>267.96300000000002</v>
      </c>
    </row>
    <row r="7" spans="1:16">
      <c r="A7" s="2">
        <v>2020</v>
      </c>
      <c r="B7">
        <f t="shared" si="5"/>
        <v>268.2645</v>
      </c>
      <c r="C7" s="3">
        <v>268.80399999999997</v>
      </c>
      <c r="D7">
        <f t="shared" si="6"/>
        <v>270.09299999999996</v>
      </c>
      <c r="E7" s="3">
        <v>271.38200000000001</v>
      </c>
      <c r="F7">
        <f t="shared" si="7"/>
        <v>270.49</v>
      </c>
      <c r="G7" s="3">
        <v>269.59800000000001</v>
      </c>
      <c r="H7">
        <f t="shared" si="8"/>
        <v>269.54949999999997</v>
      </c>
      <c r="I7" s="3">
        <v>269.50099999999998</v>
      </c>
      <c r="J7">
        <f t="shared" si="9"/>
        <v>278.4425</v>
      </c>
      <c r="K7" s="3">
        <v>287.38400000000001</v>
      </c>
      <c r="L7">
        <f t="shared" si="10"/>
        <v>286.45249999999999</v>
      </c>
      <c r="M7" s="3">
        <v>285.52100000000002</v>
      </c>
      <c r="N7" s="3">
        <v>273.88200000000001</v>
      </c>
      <c r="O7" s="3">
        <v>269.61599999999999</v>
      </c>
      <c r="P7" s="3">
        <v>278.14800000000002</v>
      </c>
    </row>
    <row r="8" spans="1:16">
      <c r="A8" s="2">
        <v>2021</v>
      </c>
      <c r="B8">
        <f t="shared" si="5"/>
        <v>285.89100000000002</v>
      </c>
      <c r="C8" s="3">
        <v>286.26100000000002</v>
      </c>
      <c r="D8">
        <f t="shared" si="6"/>
        <v>286.32650000000001</v>
      </c>
      <c r="E8" s="3">
        <v>286.392</v>
      </c>
      <c r="F8">
        <f t="shared" si="7"/>
        <v>286.392</v>
      </c>
      <c r="G8" s="3">
        <v>286.392</v>
      </c>
      <c r="H8">
        <f t="shared" si="8"/>
        <v>287.56349999999998</v>
      </c>
      <c r="I8" s="3">
        <v>288.73500000000001</v>
      </c>
      <c r="J8">
        <f t="shared" si="9"/>
        <v>287.57249999999999</v>
      </c>
      <c r="K8" s="3">
        <v>286.41000000000003</v>
      </c>
      <c r="L8">
        <f t="shared" si="10"/>
        <v>287.89</v>
      </c>
      <c r="M8" s="3">
        <v>289.37</v>
      </c>
      <c r="N8" s="3">
        <v>286.93799999999999</v>
      </c>
      <c r="O8" s="3">
        <v>286.202</v>
      </c>
      <c r="P8" s="3">
        <v>287.67500000000001</v>
      </c>
    </row>
    <row r="9" spans="1:16">
      <c r="A9" s="2">
        <v>2022</v>
      </c>
      <c r="B9">
        <f t="shared" si="5"/>
        <v>291.48599999999999</v>
      </c>
      <c r="C9" s="3">
        <v>293.60199999999998</v>
      </c>
      <c r="D9">
        <f t="shared" si="6"/>
        <v>291.76049999999998</v>
      </c>
      <c r="E9" s="3">
        <v>289.91899999999998</v>
      </c>
      <c r="F9">
        <f t="shared" si="7"/>
        <v>292.62950000000001</v>
      </c>
      <c r="G9" s="3">
        <v>295.33999999999997</v>
      </c>
      <c r="H9">
        <f t="shared" si="8"/>
        <v>297.84749999999997</v>
      </c>
      <c r="I9" s="3">
        <v>300.35500000000002</v>
      </c>
      <c r="J9">
        <f t="shared" si="9"/>
        <v>304.48500000000001</v>
      </c>
      <c r="K9" s="3">
        <v>308.61500000000001</v>
      </c>
      <c r="L9">
        <f t="shared" si="10"/>
        <v>312.49350000000004</v>
      </c>
      <c r="M9" s="3">
        <v>316.37200000000001</v>
      </c>
      <c r="N9" s="3">
        <v>298.45</v>
      </c>
      <c r="O9" s="3">
        <v>291.95800000000003</v>
      </c>
      <c r="P9" s="3">
        <v>304.94200000000001</v>
      </c>
    </row>
    <row r="10" spans="1:16">
      <c r="A10" s="2">
        <v>2023</v>
      </c>
      <c r="B10">
        <f t="shared" si="5"/>
        <v>314.8365</v>
      </c>
      <c r="C10" s="3">
        <v>313.30099999999999</v>
      </c>
      <c r="D10">
        <f t="shared" si="6"/>
        <v>314.86699999999996</v>
      </c>
      <c r="E10" s="3">
        <v>316.43299999999999</v>
      </c>
      <c r="F10">
        <f t="shared" si="7"/>
        <v>320.2355</v>
      </c>
      <c r="G10" s="3">
        <v>324.03800000000001</v>
      </c>
      <c r="H10">
        <f t="shared" si="8"/>
        <v>323.62900000000002</v>
      </c>
      <c r="I10" s="3">
        <v>323.22000000000003</v>
      </c>
      <c r="J10">
        <f t="shared" si="9"/>
        <v>323.08749999999998</v>
      </c>
      <c r="K10" s="3">
        <v>322.95499999999998</v>
      </c>
      <c r="L10">
        <f t="shared" si="10"/>
        <v>323.1585</v>
      </c>
      <c r="M10" s="3">
        <v>323.36200000000002</v>
      </c>
      <c r="N10" s="3">
        <v>319.96899999999999</v>
      </c>
      <c r="O10" s="3">
        <v>316.64600000000002</v>
      </c>
      <c r="P10" s="3">
        <v>323.29199999999997</v>
      </c>
    </row>
    <row r="11" spans="1:16">
      <c r="A11" s="2">
        <v>2024</v>
      </c>
      <c r="B11">
        <f t="shared" si="5"/>
        <v>323.68200000000002</v>
      </c>
      <c r="C11" s="3">
        <v>324.00200000000001</v>
      </c>
      <c r="D11">
        <f t="shared" si="6"/>
        <v>325.64</v>
      </c>
      <c r="E11" s="3">
        <v>327.27800000000002</v>
      </c>
      <c r="F11">
        <f t="shared" si="7"/>
        <v>327.76850000000002</v>
      </c>
      <c r="G11" s="3">
        <v>328.25900000000001</v>
      </c>
      <c r="H11">
        <f t="shared" si="8"/>
        <v>330.71699999999998</v>
      </c>
      <c r="I11" s="3">
        <v>333.17500000000001</v>
      </c>
      <c r="J11">
        <f t="shared" si="9"/>
        <v>331.23850000000004</v>
      </c>
      <c r="K11" s="3">
        <v>329.30200000000002</v>
      </c>
      <c r="L11">
        <f t="shared" si="10"/>
        <v>328.49300000000005</v>
      </c>
      <c r="M11" s="3">
        <v>327.68400000000003</v>
      </c>
      <c r="N11" s="3">
        <v>327.97</v>
      </c>
      <c r="O11" s="3">
        <v>325.76600000000002</v>
      </c>
      <c r="P11" s="3">
        <v>330.17399999999998</v>
      </c>
    </row>
    <row r="12" spans="1:16">
      <c r="A12" s="2">
        <v>2025</v>
      </c>
      <c r="B12">
        <f t="shared" si="5"/>
        <v>327.44799999999998</v>
      </c>
      <c r="C12" s="3">
        <v>327.21199999999999</v>
      </c>
      <c r="D12">
        <f t="shared" si="6"/>
        <v>327.12400000000002</v>
      </c>
      <c r="E12" s="3">
        <v>327.036</v>
      </c>
      <c r="F12">
        <f t="shared" si="7"/>
        <v>327.4785</v>
      </c>
      <c r="G12" s="3">
        <v>327.92099999999999</v>
      </c>
      <c r="H12">
        <f t="shared" si="8"/>
        <v>333.82650000000001</v>
      </c>
      <c r="I12" s="3">
        <v>339.73200000000003</v>
      </c>
      <c r="M12" s="3">
        <v>342.18700000000001</v>
      </c>
      <c r="N12" s="3">
        <v>332.12700000000001</v>
      </c>
      <c r="O12" s="3">
        <v>327.35000000000002</v>
      </c>
      <c r="P12" s="3">
        <v>337.86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January 29, 2026 (06:10:06 PM)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2026-01-29T23:10:06Z</dcterms:created>
  <dcterms:modified xsi:type="dcterms:W3CDTF">2026-01-29T23:15:21Z</dcterms:modified>
  <cp:category/>
  <cp:contentStatus/>
</cp:coreProperties>
</file>